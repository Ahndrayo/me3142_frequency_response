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 - National University of Singapore\Desktop\NUS\Year 4\Y4S2\ME3142\Labs\Part 2\"/>
    </mc:Choice>
  </mc:AlternateContent>
  <xr:revisionPtr revIDLastSave="0" documentId="13_ncr:1_{29700C0D-9DE5-441F-99DE-8FC563B7EDD7}" xr6:coauthVersionLast="47" xr6:coauthVersionMax="47" xr10:uidLastSave="{00000000-0000-0000-0000-000000000000}"/>
  <bookViews>
    <workbookView xWindow="-108" yWindow="-108" windowWidth="23256" windowHeight="13896" xr2:uid="{61D328D6-8CE5-4120-831F-F9334FAE7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<sst xmlns="http://schemas.openxmlformats.org/spreadsheetml/2006/main" count="8" uniqueCount="8">
  <si>
    <t>S/No.</t>
  </si>
  <si>
    <t>f (Hz)</t>
  </si>
  <si>
    <t>Vi (V)</t>
  </si>
  <si>
    <t>Vo (V)</t>
  </si>
  <si>
    <t>omega</t>
  </si>
  <si>
    <t>Gain</t>
  </si>
  <si>
    <t>delta time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</si>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</sst>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6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4" fontId="0" fillId="3" borderId="1" xfId="0" applyNumberForma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Gain Bode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Bode Gain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Sheet1!$C$2:$C$17</c:f>
              <c:numCache>
                <c:formatCode>0.00</c:formatCode>
                <c:ptCount val="16"/>
                <c:pt idx="0">
                  <c:v>3.1415926535897931</c:v>
                </c:pt>
                <c:pt idx="1">
                  <c:v>6.2831853071795862</c:v>
                </c:pt>
                <c:pt idx="2">
                  <c:v>12.566370614359172</c:v>
                </c:pt>
                <c:pt idx="3">
                  <c:v>18.849555921538759</c:v>
                </c:pt>
                <c:pt idx="4">
                  <c:v>25.132741228718345</c:v>
                </c:pt>
                <c:pt idx="5">
                  <c:v>31.415926535897931</c:v>
                </c:pt>
                <c:pt idx="6">
                  <c:v>37.699111843077517</c:v>
                </c:pt>
                <c:pt idx="7">
                  <c:v>43.982297150257104</c:v>
                </c:pt>
                <c:pt idx="8">
                  <c:v>50.26548245743669</c:v>
                </c:pt>
                <c:pt idx="9">
                  <c:v>56.548667764616276</c:v>
                </c:pt>
                <c:pt idx="10">
                  <c:v>62.831853071795862</c:v>
                </c:pt>
                <c:pt idx="11">
                  <c:v>69.115038378975441</c:v>
                </c:pt>
                <c:pt idx="12">
                  <c:v>75.398223686155035</c:v>
                </c:pt>
                <c:pt idx="13">
                  <c:v>81.681408993334628</c:v>
                </c:pt>
                <c:pt idx="14">
                  <c:v>87.964594300514207</c:v>
                </c:pt>
                <c:pt idx="15">
                  <c:v>94.247779607693786</c:v>
                </c:pt>
              </c:numCache>
            </c:numRef>
          </c:xVal>
          <c:yVal>
            <c:numRef>
              <c:f>Sheet1!$F$2:$F$17</c:f>
              <c:numCache>
                <c:formatCode>0.000</c:formatCode>
                <c:ptCount val="16"/>
                <c:pt idx="0">
                  <c:v>-0.41043334289203454</c:v>
                </c:pt>
                <c:pt idx="1">
                  <c:v>-1.2945065927331025</c:v>
                </c:pt>
                <c:pt idx="2">
                  <c:v>-3.8521269424247984</c:v>
                </c:pt>
                <c:pt idx="3">
                  <c:v>-6.2878791444392537</c:v>
                </c:pt>
                <c:pt idx="4">
                  <c:v>-8.2994669594163604</c:v>
                </c:pt>
                <c:pt idx="5">
                  <c:v>-10.683195113800533</c:v>
                </c:pt>
                <c:pt idx="6">
                  <c:v>-13.65159176295699</c:v>
                </c:pt>
                <c:pt idx="7">
                  <c:v>-14.857509800702012</c:v>
                </c:pt>
                <c:pt idx="8">
                  <c:v>-17.173416944070613</c:v>
                </c:pt>
                <c:pt idx="9">
                  <c:v>-18.613470172480643</c:v>
                </c:pt>
                <c:pt idx="10">
                  <c:v>-20.271456143785478</c:v>
                </c:pt>
                <c:pt idx="11">
                  <c:v>-22.633442385345365</c:v>
                </c:pt>
                <c:pt idx="12">
                  <c:v>-26.155267566458992</c:v>
                </c:pt>
                <c:pt idx="13">
                  <c:v>-27.630991849677365</c:v>
                </c:pt>
                <c:pt idx="14">
                  <c:v>-28.474945445566462</c:v>
                </c:pt>
                <c:pt idx="15">
                  <c:v>-29.917905111894882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8-4F5F-8205-E533DC08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33328"/>
        <c:axId val="35133808"/>
      </c:scatterChart>
      <c:valAx>
        <c:axId val="351333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Angular Velocity (Log)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3808"/>
        <c:crosses val="autoZero"/>
        <c:crossBetween val="midCat"/>
      </c:valAx>
      <c:valAx>
        <c:axId val="351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Bode Gain [dB]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Bode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phase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Sheet1!$C$2:$C$17</c:f>
              <c:numCache>
                <c:formatCode>0.00</c:formatCode>
                <c:ptCount val="16"/>
                <c:pt idx="0">
                  <c:v>3.1415926535897931</c:v>
                </c:pt>
                <c:pt idx="1">
                  <c:v>6.2831853071795862</c:v>
                </c:pt>
                <c:pt idx="2">
                  <c:v>12.566370614359172</c:v>
                </c:pt>
                <c:pt idx="3">
                  <c:v>18.849555921538759</c:v>
                </c:pt>
                <c:pt idx="4">
                  <c:v>25.132741228718345</c:v>
                </c:pt>
                <c:pt idx="5">
                  <c:v>31.415926535897931</c:v>
                </c:pt>
                <c:pt idx="6">
                  <c:v>37.699111843077517</c:v>
                </c:pt>
                <c:pt idx="7">
                  <c:v>43.982297150257104</c:v>
                </c:pt>
                <c:pt idx="8">
                  <c:v>50.26548245743669</c:v>
                </c:pt>
                <c:pt idx="9">
                  <c:v>56.548667764616276</c:v>
                </c:pt>
                <c:pt idx="10">
                  <c:v>62.831853071795862</c:v>
                </c:pt>
                <c:pt idx="11">
                  <c:v>69.115038378975441</c:v>
                </c:pt>
                <c:pt idx="12">
                  <c:v>75.398223686155035</c:v>
                </c:pt>
                <c:pt idx="13">
                  <c:v>81.681408993334628</c:v>
                </c:pt>
                <c:pt idx="14">
                  <c:v>87.964594300514207</c:v>
                </c:pt>
                <c:pt idx="15">
                  <c:v>94.247779607693786</c:v>
                </c:pt>
              </c:numCache>
            </c:numRef>
          </c:xVal>
          <c:yVal>
            <c:numRef>
              <c:f>Sheet1!$H$2:$H$17</c:f>
              <c:numCache>
                <c:formatCode>0.0</c:formatCode>
                <c:ptCount val="16"/>
                <c:pt idx="0">
                  <c:v>-25.200000000000003</c:v>
                </c:pt>
                <c:pt idx="1">
                  <c:v>-43.199999999999996</c:v>
                </c:pt>
                <c:pt idx="2">
                  <c:v>-77.760000000000005</c:v>
                </c:pt>
                <c:pt idx="3">
                  <c:v>-99.360000000000014</c:v>
                </c:pt>
                <c:pt idx="4">
                  <c:v>-115.2</c:v>
                </c:pt>
                <c:pt idx="5">
                  <c:v>-126.00000000000001</c:v>
                </c:pt>
                <c:pt idx="6">
                  <c:v>-142.56</c:v>
                </c:pt>
                <c:pt idx="7">
                  <c:v>-151.19999999999999</c:v>
                </c:pt>
                <c:pt idx="8">
                  <c:v>-167.04000000000002</c:v>
                </c:pt>
                <c:pt idx="9">
                  <c:v>-174.96</c:v>
                </c:pt>
                <c:pt idx="10">
                  <c:v>-172.79999999999998</c:v>
                </c:pt>
                <c:pt idx="11">
                  <c:v>-182.16</c:v>
                </c:pt>
                <c:pt idx="12">
                  <c:v>-181.44</c:v>
                </c:pt>
                <c:pt idx="13">
                  <c:v>-187.20000000000002</c:v>
                </c:pt>
                <c:pt idx="14">
                  <c:v>-191.52</c:v>
                </c:pt>
                <c:pt idx="15">
                  <c:v>-199.79999999999998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0E1-4B5A-8EDE-418747931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132416"/>
        <c:axId val="959071936"/>
      </c:scatterChart>
      <c:valAx>
        <c:axId val="9591324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Angular</a:t>
                </a:r>
                <a:r>
                  <a:rPr lang="en-SG" baseline="0"/>
                  <a:t> Velocity (Log)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071936"/>
        <c:crosses val="autoZero"/>
        <c:crossBetween val="midCat"/>
      </c:valAx>
      <c:valAx>
        <c:axId val="95907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Phase</a:t>
                </a:r>
                <a:r>
                  <a:rPr lang="en-SG" baseline="0"/>
                  <a:t> Angle [deg]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13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20</xdr:col>
      <xdr:colOff>32196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8F83C9-1FBD-A27F-F240-A312DB600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6CF5C6-026E-879A-1231-B7451C8DD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0015-C21D-4BAC-B0DC-ED0E9DB29D66}">
  <dimension ref="A1:H17"/>
  <sheetViews>
    <sheetView tabSelected="1" zoomScale="70" zoomScaleNormal="130" workbookViewId="0">
      <selection activeCell="H2" sqref="H2"/>
    </sheetView>
  </sheetViews>
  <sheetFormatPr defaultRowHeight="14.4" x14ac:dyDescent="0.3"/>
  <cols>
    <col min="3" max="3" width="17.44140625" customWidth="1"/>
    <col min="6" max="6" width="19.88671875" customWidth="1"/>
    <col min="7" max="7" width="19.5546875" customWidth="1"/>
    <col min="8" max="8" width="33.77734375" customWidth="1"/>
  </cols>
  <sheetData>
    <row r="1" spans="1:8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>
        <v>0.5</v>
      </c>
      <c r="C2" s="7">
        <f>2*PI()*B2</f>
        <v>3.1415926535897931</v>
      </c>
      <c r="D2" s="5">
        <v>5.2</v>
      </c>
      <c r="E2" s="5">
        <v>4.96</v>
      </c>
      <c r="F2" s="4">
        <f>20*LOG10(E2/D2)</f>
        <v>-0.41043334289203454</v>
      </c>
      <c r="G2" s="6">
        <v>-0.14000000000000001</v>
      </c>
      <c r="H2" s="3">
        <f t="shared" ref="H2:H17" si="0">G2*B2*360</f>
        <v>-25.200000000000003</v>
      </c>
    </row>
    <row r="3" spans="1:8" x14ac:dyDescent="0.3">
      <c r="A3" s="2">
        <v>2</v>
      </c>
      <c r="B3" s="3">
        <v>1</v>
      </c>
      <c r="C3" s="7">
        <f t="shared" ref="C3:C17" si="1">2*PI()*B3</f>
        <v>6.2831853071795862</v>
      </c>
      <c r="D3" s="5">
        <v>5.2</v>
      </c>
      <c r="E3" s="5">
        <v>4.4800000000000004</v>
      </c>
      <c r="F3" s="4">
        <f t="shared" ref="F3:F17" si="2">20*LOG10(E3/D3)</f>
        <v>-1.2945065927331025</v>
      </c>
      <c r="G3" s="6">
        <v>-0.12</v>
      </c>
      <c r="H3" s="3">
        <f t="shared" si="0"/>
        <v>-43.199999999999996</v>
      </c>
    </row>
    <row r="4" spans="1:8" x14ac:dyDescent="0.3">
      <c r="A4" s="2">
        <v>3</v>
      </c>
      <c r="B4" s="3">
        <v>2</v>
      </c>
      <c r="C4" s="7">
        <f t="shared" si="1"/>
        <v>12.566370614359172</v>
      </c>
      <c r="D4" s="5">
        <v>5.36</v>
      </c>
      <c r="E4" s="5">
        <v>3.44</v>
      </c>
      <c r="F4" s="4">
        <f t="shared" si="2"/>
        <v>-3.8521269424247984</v>
      </c>
      <c r="G4" s="6">
        <v>-0.108</v>
      </c>
      <c r="H4" s="3">
        <f t="shared" si="0"/>
        <v>-77.760000000000005</v>
      </c>
    </row>
    <row r="5" spans="1:8" x14ac:dyDescent="0.3">
      <c r="A5" s="2">
        <v>4</v>
      </c>
      <c r="B5" s="3">
        <v>3</v>
      </c>
      <c r="C5" s="7">
        <f t="shared" si="1"/>
        <v>18.849555921538759</v>
      </c>
      <c r="D5" s="5">
        <v>5.28</v>
      </c>
      <c r="E5" s="5">
        <v>2.56</v>
      </c>
      <c r="F5" s="4">
        <f t="shared" si="2"/>
        <v>-6.2878791444392537</v>
      </c>
      <c r="G5" s="6">
        <v>-9.1999999999999998E-2</v>
      </c>
      <c r="H5" s="3">
        <f t="shared" si="0"/>
        <v>-99.360000000000014</v>
      </c>
    </row>
    <row r="6" spans="1:8" x14ac:dyDescent="0.3">
      <c r="A6" s="2">
        <v>5</v>
      </c>
      <c r="B6" s="3">
        <v>4</v>
      </c>
      <c r="C6" s="7">
        <f t="shared" si="1"/>
        <v>25.132741228718345</v>
      </c>
      <c r="D6" s="5">
        <v>5.2</v>
      </c>
      <c r="E6" s="5">
        <v>2</v>
      </c>
      <c r="F6" s="4">
        <f t="shared" si="2"/>
        <v>-8.2994669594163604</v>
      </c>
      <c r="G6" s="6">
        <v>-0.08</v>
      </c>
      <c r="H6" s="3">
        <f t="shared" si="0"/>
        <v>-115.2</v>
      </c>
    </row>
    <row r="7" spans="1:8" x14ac:dyDescent="0.3">
      <c r="A7" s="2">
        <v>6</v>
      </c>
      <c r="B7" s="3">
        <v>5</v>
      </c>
      <c r="C7" s="7">
        <f t="shared" si="1"/>
        <v>31.415926535897931</v>
      </c>
      <c r="D7" s="5">
        <v>5.2</v>
      </c>
      <c r="E7" s="5">
        <v>1.52</v>
      </c>
      <c r="F7" s="4">
        <f t="shared" si="2"/>
        <v>-10.683195113800533</v>
      </c>
      <c r="G7" s="6">
        <v>-7.0000000000000007E-2</v>
      </c>
      <c r="H7" s="3">
        <f t="shared" si="0"/>
        <v>-126.00000000000001</v>
      </c>
    </row>
    <row r="8" spans="1:8" x14ac:dyDescent="0.3">
      <c r="A8" s="2">
        <v>7</v>
      </c>
      <c r="B8" s="3">
        <v>6</v>
      </c>
      <c r="C8" s="7">
        <f t="shared" si="1"/>
        <v>37.699111843077517</v>
      </c>
      <c r="D8" s="5">
        <v>5.2</v>
      </c>
      <c r="E8" s="5">
        <v>1.08</v>
      </c>
      <c r="F8" s="4">
        <f t="shared" si="2"/>
        <v>-13.65159176295699</v>
      </c>
      <c r="G8" s="6">
        <v>-6.6000000000000003E-2</v>
      </c>
      <c r="H8" s="3">
        <f t="shared" si="0"/>
        <v>-142.56</v>
      </c>
    </row>
    <row r="9" spans="1:8" x14ac:dyDescent="0.3">
      <c r="A9" s="2">
        <v>8</v>
      </c>
      <c r="B9" s="3">
        <v>7</v>
      </c>
      <c r="C9" s="7">
        <f t="shared" si="1"/>
        <v>43.982297150257104</v>
      </c>
      <c r="D9" s="5">
        <v>5.2</v>
      </c>
      <c r="E9" s="5">
        <v>0.94</v>
      </c>
      <c r="F9" s="4">
        <f t="shared" si="2"/>
        <v>-14.857509800702012</v>
      </c>
      <c r="G9" s="6">
        <v>-0.06</v>
      </c>
      <c r="H9" s="3">
        <f t="shared" si="0"/>
        <v>-151.19999999999999</v>
      </c>
    </row>
    <row r="10" spans="1:8" x14ac:dyDescent="0.3">
      <c r="A10" s="2">
        <v>9</v>
      </c>
      <c r="B10" s="3">
        <v>8</v>
      </c>
      <c r="C10" s="7">
        <f t="shared" si="1"/>
        <v>50.26548245743669</v>
      </c>
      <c r="D10" s="5">
        <v>5.2</v>
      </c>
      <c r="E10" s="5">
        <v>0.72</v>
      </c>
      <c r="F10" s="4">
        <f t="shared" si="2"/>
        <v>-17.173416944070613</v>
      </c>
      <c r="G10" s="6">
        <v>-5.8000000000000003E-2</v>
      </c>
      <c r="H10" s="3">
        <f t="shared" si="0"/>
        <v>-167.04000000000002</v>
      </c>
    </row>
    <row r="11" spans="1:8" x14ac:dyDescent="0.3">
      <c r="A11" s="2">
        <v>10</v>
      </c>
      <c r="B11" s="3">
        <v>9</v>
      </c>
      <c r="C11" s="7">
        <f t="shared" si="1"/>
        <v>56.548667764616276</v>
      </c>
      <c r="D11" s="5">
        <v>5.2</v>
      </c>
      <c r="E11" s="5">
        <v>0.61</v>
      </c>
      <c r="F11" s="4">
        <f t="shared" si="2"/>
        <v>-18.613470172480643</v>
      </c>
      <c r="G11" s="6">
        <v>-5.3999999999999999E-2</v>
      </c>
      <c r="H11" s="3">
        <f t="shared" si="0"/>
        <v>-174.96</v>
      </c>
    </row>
    <row r="12" spans="1:8" x14ac:dyDescent="0.3">
      <c r="A12" s="2">
        <v>11</v>
      </c>
      <c r="B12" s="3">
        <v>10</v>
      </c>
      <c r="C12" s="7">
        <f t="shared" si="1"/>
        <v>62.831853071795862</v>
      </c>
      <c r="D12" s="5">
        <v>5.2</v>
      </c>
      <c r="E12" s="5">
        <v>0.504</v>
      </c>
      <c r="F12" s="4">
        <f t="shared" si="2"/>
        <v>-20.271456143785478</v>
      </c>
      <c r="G12" s="6">
        <v>-4.8000000000000001E-2</v>
      </c>
      <c r="H12" s="3">
        <f t="shared" si="0"/>
        <v>-172.79999999999998</v>
      </c>
    </row>
    <row r="13" spans="1:8" x14ac:dyDescent="0.3">
      <c r="A13" s="2">
        <v>12</v>
      </c>
      <c r="B13" s="3">
        <v>11</v>
      </c>
      <c r="C13" s="7">
        <f t="shared" si="1"/>
        <v>69.115038378975441</v>
      </c>
      <c r="D13" s="5">
        <v>5.2</v>
      </c>
      <c r="E13" s="5">
        <v>0.38400000000000001</v>
      </c>
      <c r="F13" s="4">
        <f t="shared" si="2"/>
        <v>-22.633442385345365</v>
      </c>
      <c r="G13" s="6">
        <v>-4.5999999999999999E-2</v>
      </c>
      <c r="H13" s="3">
        <f t="shared" si="0"/>
        <v>-182.16</v>
      </c>
    </row>
    <row r="14" spans="1:8" x14ac:dyDescent="0.3">
      <c r="A14" s="2">
        <v>13</v>
      </c>
      <c r="B14" s="3">
        <v>12</v>
      </c>
      <c r="C14" s="7">
        <f t="shared" si="1"/>
        <v>75.398223686155035</v>
      </c>
      <c r="D14" s="5">
        <v>5.2</v>
      </c>
      <c r="E14" s="5">
        <v>0.25600000000000001</v>
      </c>
      <c r="F14" s="4">
        <f t="shared" si="2"/>
        <v>-26.155267566458992</v>
      </c>
      <c r="G14" s="6">
        <v>-4.2000000000000003E-2</v>
      </c>
      <c r="H14" s="3">
        <f t="shared" si="0"/>
        <v>-181.44</v>
      </c>
    </row>
    <row r="15" spans="1:8" x14ac:dyDescent="0.3">
      <c r="A15" s="2">
        <v>14</v>
      </c>
      <c r="B15" s="3">
        <v>13</v>
      </c>
      <c r="C15" s="7">
        <f t="shared" si="1"/>
        <v>81.681408993334628</v>
      </c>
      <c r="D15" s="5">
        <v>5.2</v>
      </c>
      <c r="E15" s="5">
        <v>0.216</v>
      </c>
      <c r="F15" s="4">
        <f t="shared" si="2"/>
        <v>-27.630991849677365</v>
      </c>
      <c r="G15" s="6">
        <v>-0.04</v>
      </c>
      <c r="H15" s="3">
        <f t="shared" si="0"/>
        <v>-187.20000000000002</v>
      </c>
    </row>
    <row r="16" spans="1:8" x14ac:dyDescent="0.3">
      <c r="A16" s="2">
        <v>15</v>
      </c>
      <c r="B16" s="3">
        <v>14</v>
      </c>
      <c r="C16" s="7">
        <f t="shared" si="1"/>
        <v>87.964594300514207</v>
      </c>
      <c r="D16" s="5">
        <v>5.2</v>
      </c>
      <c r="E16" s="5">
        <v>0.19600000000000001</v>
      </c>
      <c r="F16" s="4">
        <f t="shared" si="2"/>
        <v>-28.474945445566462</v>
      </c>
      <c r="G16" s="6">
        <v>-3.7999999999999999E-2</v>
      </c>
      <c r="H16" s="3">
        <f t="shared" si="0"/>
        <v>-191.52</v>
      </c>
    </row>
    <row r="17" spans="1:8" x14ac:dyDescent="0.3">
      <c r="A17" s="2">
        <v>16</v>
      </c>
      <c r="B17" s="3">
        <v>15</v>
      </c>
      <c r="C17" s="7">
        <f t="shared" si="1"/>
        <v>94.247779607693786</v>
      </c>
      <c r="D17" s="5">
        <v>5.2</v>
      </c>
      <c r="E17" s="5">
        <v>0.16600000000000001</v>
      </c>
      <c r="F17" s="4">
        <f t="shared" si="2"/>
        <v>-29.917905111894882</v>
      </c>
      <c r="G17" s="6">
        <v>-3.6999999999999998E-2</v>
      </c>
      <c r="H17" s="3">
        <f t="shared" si="0"/>
        <v>-199.79999999999998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Wonn Kye</dc:creator>
  <cp:lastModifiedBy>Ahndrayo Tan</cp:lastModifiedBy>
  <dcterms:created xsi:type="dcterms:W3CDTF">2026-03-18T05:40:12Z</dcterms:created>
  <dcterms:modified xsi:type="dcterms:W3CDTF">2026-04-13T07:20:48Z</dcterms:modified>
</cp:coreProperties>
</file>